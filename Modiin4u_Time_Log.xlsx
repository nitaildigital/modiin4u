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'Time Log'!$A$4:$F$59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23A72"/>
      <sz val="16"/>
    </font>
    <font>
      <name val="Arial"/>
      <color rgb="00878787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23A72"/>
      <sz val="11"/>
    </font>
    <font>
      <name val="Arial"/>
      <b val="1"/>
      <color rgb="00123A72"/>
      <sz val="10"/>
    </font>
    <font>
      <name val="Arial"/>
      <color rgb="00878787"/>
      <sz val="9"/>
    </font>
    <font>
      <name val="Arial"/>
      <b val="1"/>
      <color rgb="001E40B5"/>
      <sz val="12"/>
    </font>
  </fonts>
  <fills count="5">
    <fill>
      <patternFill/>
    </fill>
    <fill>
      <patternFill patternType="gray125"/>
    </fill>
    <fill>
      <patternFill patternType="solid">
        <fgColor rgb="00123A72"/>
      </patternFill>
    </fill>
    <fill>
      <patternFill patternType="solid">
        <fgColor rgb="00F7F9FC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165" fontId="4" fillId="3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center" vertical="top"/>
    </xf>
    <xf numFmtId="0" fontId="5" fillId="0" borderId="0" applyAlignment="1" pivotButton="0" quotePrefix="0" xfId="0">
      <alignment horizontal="right"/>
    </xf>
    <xf numFmtId="165" fontId="5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5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166" fontId="5" fillId="4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78" customWidth="1" min="4" max="4"/>
    <col width="8" customWidth="1" min="5" max="5"/>
    <col width="13" customWidth="1" min="6" max="6"/>
  </cols>
  <sheetData>
    <row r="1">
      <c r="A1" s="1" t="inlineStr">
        <is>
          <t>Modiin4u — Time Log</t>
        </is>
      </c>
    </row>
    <row r="2">
      <c r="A2" s="2" t="inlineStr">
        <is>
          <t>Arvindra Singh · GTS Infosoft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Area</t>
        </is>
      </c>
      <c r="D4" s="3" t="inlineStr">
        <is>
          <t>Work done</t>
        </is>
      </c>
      <c r="E4" s="3" t="inlineStr">
        <is>
          <t>Hours</t>
        </is>
      </c>
      <c r="F4" s="3" t="inlineStr">
        <is>
          <t>Status</t>
        </is>
      </c>
    </row>
    <row r="5">
      <c r="A5" s="4" t="inlineStr">
        <is>
          <t>2026-08-11</t>
        </is>
      </c>
      <c r="B5" s="5">
        <f>IF(A5="","",TEXT(A5,"ddd"))</f>
        <v/>
      </c>
      <c r="C5" s="6" t="inlineStr">
        <is>
          <t>Setup</t>
        </is>
      </c>
      <c r="D5" s="7" t="inlineStr">
        <is>
          <t>Project set up; 24 screens scaffolded across events, real estate, community, deals, games, steps, parking and admin</t>
        </is>
      </c>
      <c r="E5" s="8" t="n">
        <v>4</v>
      </c>
      <c r="F5" s="5" t="inlineStr">
        <is>
          <t>Done</t>
        </is>
      </c>
    </row>
    <row r="6">
      <c r="A6" s="9" t="inlineStr">
        <is>
          <t>2026-08-12</t>
        </is>
      </c>
      <c r="B6" s="10">
        <f>IF(A6="","",TEXT(A6,"ddd"))</f>
        <v/>
      </c>
      <c r="C6" s="11" t="inlineStr">
        <is>
          <t>App shell</t>
        </is>
      </c>
      <c r="D6" s="12" t="inlineStr">
        <is>
          <t>Onboarding, search, dark mode, community feed; real estate rebuilt from Figma; auth screens and map</t>
        </is>
      </c>
      <c r="E6" s="13" t="n">
        <v>6</v>
      </c>
      <c r="F6" s="10" t="inlineStr">
        <is>
          <t>Done</t>
        </is>
      </c>
    </row>
    <row r="7">
      <c r="A7" s="4" t="inlineStr">
        <is>
          <t>2026-08-28</t>
        </is>
      </c>
      <c r="B7" s="5">
        <f>IF(A7="","",TEXT(A7,"ddd"))</f>
        <v/>
      </c>
      <c r="C7" s="6" t="inlineStr">
        <is>
          <t>Admin panel</t>
        </is>
      </c>
      <c r="D7" s="7" t="inlineStr">
        <is>
          <t>Admin dashboard built out — 23 sections with their screens; analytics dashboard; images on articles and businesses</t>
        </is>
      </c>
      <c r="E7" s="8" t="n">
        <v>5</v>
      </c>
      <c r="F7" s="5" t="inlineStr">
        <is>
          <t>Done</t>
        </is>
      </c>
    </row>
    <row r="8">
      <c r="A8" s="9" t="inlineStr">
        <is>
          <t>2026-09-14</t>
        </is>
      </c>
      <c r="B8" s="10">
        <f>IF(A8="","",TEXT(A8,"ddd"))</f>
        <v/>
      </c>
      <c r="C8" s="11" t="inlineStr">
        <is>
          <t>Web + screens</t>
        </is>
      </c>
      <c r="D8" s="12" t="inlineStr">
        <is>
          <t>Web production pages: homepage, real estate, listing detail. New screens for auth, restaurants, events map. Platform configs, icons, splash</t>
        </is>
      </c>
      <c r="E8" s="13" t="n">
        <v>7</v>
      </c>
      <c r="F8" s="10" t="inlineStr">
        <is>
          <t>Done</t>
        </is>
      </c>
    </row>
    <row r="9">
      <c r="A9" s="4" t="inlineStr">
        <is>
          <t>2026-09-15</t>
        </is>
      </c>
      <c r="B9" s="5">
        <f>IF(A9="","",TEXT(A9,"ddd"))</f>
        <v/>
      </c>
      <c r="C9" s="6" t="inlineStr">
        <is>
          <t>Web</t>
        </is>
      </c>
      <c r="D9" s="7" t="inlineStr">
        <is>
          <t>Real estate search for sale and rent, web layout</t>
        </is>
      </c>
      <c r="E9" s="8" t="n">
        <v>3</v>
      </c>
      <c r="F9" s="5" t="inlineStr">
        <is>
          <t>Done</t>
        </is>
      </c>
    </row>
    <row r="10">
      <c r="A10" s="9" t="inlineStr">
        <is>
          <t>2026-09-16</t>
        </is>
      </c>
      <c r="B10" s="10">
        <f>IF(A10="","",TEXT(A10,"ddd"))</f>
        <v/>
      </c>
      <c r="C10" s="11" t="inlineStr">
        <is>
          <t>Content import</t>
        </is>
      </c>
      <c r="D10" s="12" t="inlineStr">
        <is>
          <t>Directory, news, restaurants and map pulled from the WordPress export; desktop pages for deals, events, news, municipal; shared navbar and footer</t>
        </is>
      </c>
      <c r="E10" s="13" t="n">
        <v>8</v>
      </c>
      <c r="F10" s="10" t="inlineStr">
        <is>
          <t>Done</t>
        </is>
      </c>
    </row>
    <row r="11">
      <c r="A11" s="4" t="inlineStr">
        <is>
          <t>2026-09-18</t>
        </is>
      </c>
      <c r="B11" s="5">
        <f>IF(A11="","",TEXT(A11,"ddd"))</f>
        <v/>
      </c>
      <c r="C11" s="6" t="inlineStr">
        <is>
          <t>Content import</t>
        </is>
      </c>
      <c r="D11" s="7" t="inlineStr">
        <is>
          <t>Every article bundled and every category exposed</t>
        </is>
      </c>
      <c r="E11" s="8" t="n">
        <v>3</v>
      </c>
      <c r="F11" s="5" t="inlineStr">
        <is>
          <t>Done</t>
        </is>
      </c>
    </row>
    <row r="12">
      <c r="A12" s="9" t="inlineStr">
        <is>
          <t>2026-09-20</t>
        </is>
      </c>
      <c r="B12" s="10">
        <f>IF(A12="","",TEXT(A12,"ddd"))</f>
        <v/>
      </c>
      <c r="C12" s="11" t="inlineStr">
        <is>
          <t>Database</t>
        </is>
      </c>
      <c r="D12" s="12" t="inlineStr">
        <is>
          <t>SQL seed generated from the WordPress export</t>
        </is>
      </c>
      <c r="E12" s="13" t="n">
        <v>3</v>
      </c>
      <c r="F12" s="10" t="inlineStr">
        <is>
          <t>Done</t>
        </is>
      </c>
    </row>
    <row r="13">
      <c r="A13" s="4" t="inlineStr">
        <is>
          <t>2026-09-23</t>
        </is>
      </c>
      <c r="B13" s="5">
        <f>IF(A13="","",TEXT(A13,"ddd"))</f>
        <v/>
      </c>
      <c r="C13" s="6" t="inlineStr">
        <is>
          <t>Live data</t>
        </is>
      </c>
      <c r="D13" s="7" t="inlineStr">
        <is>
          <t>News, businesses, restaurants, events, map and search moved onto the live database — 200 businesses and 659 articles with their photographs</t>
        </is>
      </c>
      <c r="E13" s="8" t="n">
        <v>4</v>
      </c>
      <c r="F13" s="5" t="inlineStr">
        <is>
          <t>Done</t>
        </is>
      </c>
    </row>
    <row r="14">
      <c r="A14" s="9" t="inlineStr">
        <is>
          <t>2026-09-23</t>
        </is>
      </c>
      <c r="B14" s="10">
        <f>IF(A14="","",TEXT(A14,"ddd"))</f>
        <v/>
      </c>
      <c r="C14" s="11" t="inlineStr">
        <is>
          <t>App quality</t>
        </is>
      </c>
      <c r="D14" s="12" t="inlineStr">
        <is>
          <t>Loading states matched to the real layout; back button fixed across the app; scrolling freed to the screen's full refresh rate; fonts bundled instead of downloaded</t>
        </is>
      </c>
      <c r="E14" s="13" t="n">
        <v>2</v>
      </c>
      <c r="F14" s="10" t="inlineStr">
        <is>
          <t>Done</t>
        </is>
      </c>
    </row>
    <row r="15">
      <c r="A15" s="4" t="inlineStr">
        <is>
          <t>2026-09-23</t>
        </is>
      </c>
      <c r="B15" s="5">
        <f>IF(A15="","",TEXT(A15,"ddd"))</f>
        <v/>
      </c>
      <c r="C15" s="6" t="inlineStr">
        <is>
          <t>Accounts</t>
        </is>
      </c>
      <c r="D15" s="7" t="inlineStr">
        <is>
          <t>Sign-in, sign-up, forgot and change password on Supabase; account deletion; notification preferences; access controls; saved favourites</t>
        </is>
      </c>
      <c r="E15" s="8" t="n">
        <v>3</v>
      </c>
      <c r="F15" s="5" t="inlineStr">
        <is>
          <t>Done</t>
        </is>
      </c>
    </row>
    <row r="16">
      <c r="A16" s="9" t="inlineStr">
        <is>
          <t>2026-09-23</t>
        </is>
      </c>
      <c r="B16" s="10">
        <f>IF(A16="","",TEXT(A16,"ddd"))</f>
        <v/>
      </c>
      <c r="C16" s="11" t="inlineStr">
        <is>
          <t>Maps</t>
        </is>
      </c>
      <c r="D16" s="12" t="inlineStr">
        <is>
          <t>Google Maps on the client's key, with the app's own markers; key kept out of the repository</t>
        </is>
      </c>
      <c r="E16" s="13" t="n">
        <v>1.5</v>
      </c>
      <c r="F16" s="10" t="inlineStr">
        <is>
          <t>Done</t>
        </is>
      </c>
    </row>
    <row r="17">
      <c r="A17" s="4" t="inlineStr">
        <is>
          <t>2026-09-23</t>
        </is>
      </c>
      <c r="B17" s="5">
        <f>IF(A17="","",TEXT(A17,"ddd"))</f>
        <v/>
      </c>
      <c r="C17" s="6" t="inlineStr">
        <is>
          <t>Admin panel</t>
        </is>
      </c>
      <c r="D17" s="7" t="inlineStr">
        <is>
          <t>Control centre moved onto live data — 21 sections; opening hours editor; category picker; image upload; safe delete</t>
        </is>
      </c>
      <c r="E17" s="8" t="n">
        <v>4</v>
      </c>
      <c r="F17" s="5" t="inlineStr">
        <is>
          <t>Done</t>
        </is>
      </c>
    </row>
    <row r="18">
      <c r="A18" s="9" t="inlineStr">
        <is>
          <t>2026-09-23</t>
        </is>
      </c>
      <c r="B18" s="10">
        <f>IF(A18="","",TEXT(A18,"ddd"))</f>
        <v/>
      </c>
      <c r="C18" s="11" t="inlineStr">
        <is>
          <t>Database</t>
        </is>
      </c>
      <c r="D18" s="12" t="inlineStr">
        <is>
          <t>Migrations for security, sign-in, notifications, media storage and the real estate schema</t>
        </is>
      </c>
      <c r="E18" s="13" t="n">
        <v>2</v>
      </c>
      <c r="F18" s="10" t="inlineStr">
        <is>
          <t>Done</t>
        </is>
      </c>
    </row>
    <row r="19">
      <c r="A19" s="4" t="inlineStr">
        <is>
          <t>2026-09-23</t>
        </is>
      </c>
      <c r="B19" s="5">
        <f>IF(A19="","",TEXT(A19,"ddd"))</f>
        <v/>
      </c>
      <c r="C19" s="6" t="inlineStr">
        <is>
          <t>Languages</t>
        </is>
      </c>
      <c r="D19" s="7" t="inlineStr">
        <is>
          <t>Hebrew and English with a working switch; sign-in and settings translated</t>
        </is>
      </c>
      <c r="E19" s="8" t="n">
        <v>1.5</v>
      </c>
      <c r="F19" s="5" t="inlineStr">
        <is>
          <t>Done</t>
        </is>
      </c>
    </row>
    <row r="20">
      <c r="A20" s="9" t="n"/>
      <c r="B20" s="10">
        <f>IF(A20="","",TEXT(A20,"ddd"))</f>
        <v/>
      </c>
      <c r="C20" s="11" t="n"/>
      <c r="D20" s="12" t="n"/>
      <c r="E20" s="13" t="n"/>
      <c r="F20" s="10" t="n"/>
    </row>
    <row r="21">
      <c r="A21" s="4" t="n"/>
      <c r="B21" s="5">
        <f>IF(A21="","",TEXT(A21,"ddd"))</f>
        <v/>
      </c>
      <c r="C21" s="6" t="n"/>
      <c r="D21" s="7" t="n"/>
      <c r="E21" s="8" t="n"/>
      <c r="F21" s="5" t="n"/>
    </row>
    <row r="22">
      <c r="A22" s="9" t="n"/>
      <c r="B22" s="10">
        <f>IF(A22="","",TEXT(A22,"ddd"))</f>
        <v/>
      </c>
      <c r="C22" s="11" t="n"/>
      <c r="D22" s="12" t="n"/>
      <c r="E22" s="13" t="n"/>
      <c r="F22" s="10" t="n"/>
    </row>
    <row r="23">
      <c r="A23" s="4" t="n"/>
      <c r="B23" s="5">
        <f>IF(A23="","",TEXT(A23,"ddd"))</f>
        <v/>
      </c>
      <c r="C23" s="6" t="n"/>
      <c r="D23" s="7" t="n"/>
      <c r="E23" s="8" t="n"/>
      <c r="F23" s="5" t="n"/>
    </row>
    <row r="24">
      <c r="A24" s="9" t="n"/>
      <c r="B24" s="10">
        <f>IF(A24="","",TEXT(A24,"ddd"))</f>
        <v/>
      </c>
      <c r="C24" s="11" t="n"/>
      <c r="D24" s="12" t="n"/>
      <c r="E24" s="13" t="n"/>
      <c r="F24" s="10" t="n"/>
    </row>
    <row r="25">
      <c r="A25" s="4" t="n"/>
      <c r="B25" s="5">
        <f>IF(A25="","",TEXT(A25,"ddd"))</f>
        <v/>
      </c>
      <c r="C25" s="6" t="n"/>
      <c r="D25" s="7" t="n"/>
      <c r="E25" s="8" t="n"/>
      <c r="F25" s="5" t="n"/>
    </row>
    <row r="26">
      <c r="A26" s="9" t="n"/>
      <c r="B26" s="10">
        <f>IF(A26="","",TEXT(A26,"ddd"))</f>
        <v/>
      </c>
      <c r="C26" s="11" t="n"/>
      <c r="D26" s="12" t="n"/>
      <c r="E26" s="13" t="n"/>
      <c r="F26" s="10" t="n"/>
    </row>
    <row r="27">
      <c r="A27" s="4" t="n"/>
      <c r="B27" s="5">
        <f>IF(A27="","",TEXT(A27,"ddd"))</f>
        <v/>
      </c>
      <c r="C27" s="6" t="n"/>
      <c r="D27" s="7" t="n"/>
      <c r="E27" s="8" t="n"/>
      <c r="F27" s="5" t="n"/>
    </row>
    <row r="28">
      <c r="A28" s="9" t="n"/>
      <c r="B28" s="10">
        <f>IF(A28="","",TEXT(A28,"ddd"))</f>
        <v/>
      </c>
      <c r="C28" s="11" t="n"/>
      <c r="D28" s="12" t="n"/>
      <c r="E28" s="13" t="n"/>
      <c r="F28" s="10" t="n"/>
    </row>
    <row r="29">
      <c r="A29" s="4" t="n"/>
      <c r="B29" s="5">
        <f>IF(A29="","",TEXT(A29,"ddd"))</f>
        <v/>
      </c>
      <c r="C29" s="6" t="n"/>
      <c r="D29" s="7" t="n"/>
      <c r="E29" s="8" t="n"/>
      <c r="F29" s="5" t="n"/>
    </row>
    <row r="30">
      <c r="A30" s="9" t="n"/>
      <c r="B30" s="10">
        <f>IF(A30="","",TEXT(A30,"ddd"))</f>
        <v/>
      </c>
      <c r="C30" s="11" t="n"/>
      <c r="D30" s="12" t="n"/>
      <c r="E30" s="13" t="n"/>
      <c r="F30" s="10" t="n"/>
    </row>
    <row r="31">
      <c r="A31" s="4" t="n"/>
      <c r="B31" s="5">
        <f>IF(A31="","",TEXT(A31,"ddd"))</f>
        <v/>
      </c>
      <c r="C31" s="6" t="n"/>
      <c r="D31" s="7" t="n"/>
      <c r="E31" s="8" t="n"/>
      <c r="F31" s="5" t="n"/>
    </row>
    <row r="32">
      <c r="A32" s="9" t="n"/>
      <c r="B32" s="10">
        <f>IF(A32="","",TEXT(A32,"ddd"))</f>
        <v/>
      </c>
      <c r="C32" s="11" t="n"/>
      <c r="D32" s="12" t="n"/>
      <c r="E32" s="13" t="n"/>
      <c r="F32" s="10" t="n"/>
    </row>
    <row r="33">
      <c r="A33" s="4" t="n"/>
      <c r="B33" s="5">
        <f>IF(A33="","",TEXT(A33,"ddd"))</f>
        <v/>
      </c>
      <c r="C33" s="6" t="n"/>
      <c r="D33" s="7" t="n"/>
      <c r="E33" s="8" t="n"/>
      <c r="F33" s="5" t="n"/>
    </row>
    <row r="34">
      <c r="A34" s="9" t="n"/>
      <c r="B34" s="10">
        <f>IF(A34="","",TEXT(A34,"ddd"))</f>
        <v/>
      </c>
      <c r="C34" s="11" t="n"/>
      <c r="D34" s="12" t="n"/>
      <c r="E34" s="13" t="n"/>
      <c r="F34" s="10" t="n"/>
    </row>
    <row r="35">
      <c r="A35" s="4" t="n"/>
      <c r="B35" s="5">
        <f>IF(A35="","",TEXT(A35,"ddd"))</f>
        <v/>
      </c>
      <c r="C35" s="6" t="n"/>
      <c r="D35" s="7" t="n"/>
      <c r="E35" s="8" t="n"/>
      <c r="F35" s="5" t="n"/>
    </row>
    <row r="36">
      <c r="A36" s="9" t="n"/>
      <c r="B36" s="10">
        <f>IF(A36="","",TEXT(A36,"ddd"))</f>
        <v/>
      </c>
      <c r="C36" s="11" t="n"/>
      <c r="D36" s="12" t="n"/>
      <c r="E36" s="13" t="n"/>
      <c r="F36" s="10" t="n"/>
    </row>
    <row r="37">
      <c r="A37" s="4" t="n"/>
      <c r="B37" s="5">
        <f>IF(A37="","",TEXT(A37,"ddd"))</f>
        <v/>
      </c>
      <c r="C37" s="6" t="n"/>
      <c r="D37" s="7" t="n"/>
      <c r="E37" s="8" t="n"/>
      <c r="F37" s="5" t="n"/>
    </row>
    <row r="38">
      <c r="A38" s="9" t="n"/>
      <c r="B38" s="10">
        <f>IF(A38="","",TEXT(A38,"ddd"))</f>
        <v/>
      </c>
      <c r="C38" s="11" t="n"/>
      <c r="D38" s="12" t="n"/>
      <c r="E38" s="13" t="n"/>
      <c r="F38" s="10" t="n"/>
    </row>
    <row r="39">
      <c r="A39" s="4" t="n"/>
      <c r="B39" s="5">
        <f>IF(A39="","",TEXT(A39,"ddd"))</f>
        <v/>
      </c>
      <c r="C39" s="6" t="n"/>
      <c r="D39" s="7" t="n"/>
      <c r="E39" s="8" t="n"/>
      <c r="F39" s="5" t="n"/>
    </row>
    <row r="40">
      <c r="A40" s="9" t="n"/>
      <c r="B40" s="10">
        <f>IF(A40="","",TEXT(A40,"ddd"))</f>
        <v/>
      </c>
      <c r="C40" s="11" t="n"/>
      <c r="D40" s="12" t="n"/>
      <c r="E40" s="13" t="n"/>
      <c r="F40" s="10" t="n"/>
    </row>
    <row r="41">
      <c r="A41" s="4" t="n"/>
      <c r="B41" s="5">
        <f>IF(A41="","",TEXT(A41,"ddd"))</f>
        <v/>
      </c>
      <c r="C41" s="6" t="n"/>
      <c r="D41" s="7" t="n"/>
      <c r="E41" s="8" t="n"/>
      <c r="F41" s="5" t="n"/>
    </row>
    <row r="42">
      <c r="A42" s="9" t="n"/>
      <c r="B42" s="10">
        <f>IF(A42="","",TEXT(A42,"ddd"))</f>
        <v/>
      </c>
      <c r="C42" s="11" t="n"/>
      <c r="D42" s="12" t="n"/>
      <c r="E42" s="13" t="n"/>
      <c r="F42" s="10" t="n"/>
    </row>
    <row r="43">
      <c r="A43" s="4" t="n"/>
      <c r="B43" s="5">
        <f>IF(A43="","",TEXT(A43,"ddd"))</f>
        <v/>
      </c>
      <c r="C43" s="6" t="n"/>
      <c r="D43" s="7" t="n"/>
      <c r="E43" s="8" t="n"/>
      <c r="F43" s="5" t="n"/>
    </row>
    <row r="44">
      <c r="A44" s="9" t="n"/>
      <c r="B44" s="10">
        <f>IF(A44="","",TEXT(A44,"ddd"))</f>
        <v/>
      </c>
      <c r="C44" s="11" t="n"/>
      <c r="D44" s="12" t="n"/>
      <c r="E44" s="13" t="n"/>
      <c r="F44" s="10" t="n"/>
    </row>
    <row r="45">
      <c r="A45" s="4" t="n"/>
      <c r="B45" s="5">
        <f>IF(A45="","",TEXT(A45,"ddd"))</f>
        <v/>
      </c>
      <c r="C45" s="6" t="n"/>
      <c r="D45" s="7" t="n"/>
      <c r="E45" s="8" t="n"/>
      <c r="F45" s="5" t="n"/>
    </row>
    <row r="46">
      <c r="A46" s="9" t="n"/>
      <c r="B46" s="10">
        <f>IF(A46="","",TEXT(A46,"ddd"))</f>
        <v/>
      </c>
      <c r="C46" s="11" t="n"/>
      <c r="D46" s="12" t="n"/>
      <c r="E46" s="13" t="n"/>
      <c r="F46" s="10" t="n"/>
    </row>
    <row r="47">
      <c r="A47" s="4" t="n"/>
      <c r="B47" s="5">
        <f>IF(A47="","",TEXT(A47,"ddd"))</f>
        <v/>
      </c>
      <c r="C47" s="6" t="n"/>
      <c r="D47" s="7" t="n"/>
      <c r="E47" s="8" t="n"/>
      <c r="F47" s="5" t="n"/>
    </row>
    <row r="48">
      <c r="A48" s="9" t="n"/>
      <c r="B48" s="10">
        <f>IF(A48="","",TEXT(A48,"ddd"))</f>
        <v/>
      </c>
      <c r="C48" s="11" t="n"/>
      <c r="D48" s="12" t="n"/>
      <c r="E48" s="13" t="n"/>
      <c r="F48" s="10" t="n"/>
    </row>
    <row r="49">
      <c r="A49" s="4" t="n"/>
      <c r="B49" s="5">
        <f>IF(A49="","",TEXT(A49,"ddd"))</f>
        <v/>
      </c>
      <c r="C49" s="6" t="n"/>
      <c r="D49" s="7" t="n"/>
      <c r="E49" s="8" t="n"/>
      <c r="F49" s="5" t="n"/>
    </row>
    <row r="50">
      <c r="A50" s="9" t="n"/>
      <c r="B50" s="10">
        <f>IF(A50="","",TEXT(A50,"ddd"))</f>
        <v/>
      </c>
      <c r="C50" s="11" t="n"/>
      <c r="D50" s="12" t="n"/>
      <c r="E50" s="13" t="n"/>
      <c r="F50" s="10" t="n"/>
    </row>
    <row r="51">
      <c r="A51" s="4" t="n"/>
      <c r="B51" s="5">
        <f>IF(A51="","",TEXT(A51,"ddd"))</f>
        <v/>
      </c>
      <c r="C51" s="6" t="n"/>
      <c r="D51" s="7" t="n"/>
      <c r="E51" s="8" t="n"/>
      <c r="F51" s="5" t="n"/>
    </row>
    <row r="52">
      <c r="A52" s="9" t="n"/>
      <c r="B52" s="10">
        <f>IF(A52="","",TEXT(A52,"ddd"))</f>
        <v/>
      </c>
      <c r="C52" s="11" t="n"/>
      <c r="D52" s="12" t="n"/>
      <c r="E52" s="13" t="n"/>
      <c r="F52" s="10" t="n"/>
    </row>
    <row r="53">
      <c r="A53" s="4" t="n"/>
      <c r="B53" s="5">
        <f>IF(A53="","",TEXT(A53,"ddd"))</f>
        <v/>
      </c>
      <c r="C53" s="6" t="n"/>
      <c r="D53" s="7" t="n"/>
      <c r="E53" s="8" t="n"/>
      <c r="F53" s="5" t="n"/>
    </row>
    <row r="54">
      <c r="A54" s="9" t="n"/>
      <c r="B54" s="10">
        <f>IF(A54="","",TEXT(A54,"ddd"))</f>
        <v/>
      </c>
      <c r="C54" s="11" t="n"/>
      <c r="D54" s="12" t="n"/>
      <c r="E54" s="13" t="n"/>
      <c r="F54" s="10" t="n"/>
    </row>
    <row r="55">
      <c r="A55" s="4" t="n"/>
      <c r="B55" s="5">
        <f>IF(A55="","",TEXT(A55,"ddd"))</f>
        <v/>
      </c>
      <c r="C55" s="6" t="n"/>
      <c r="D55" s="7" t="n"/>
      <c r="E55" s="8" t="n"/>
      <c r="F55" s="5" t="n"/>
    </row>
    <row r="56">
      <c r="A56" s="9" t="n"/>
      <c r="B56" s="10">
        <f>IF(A56="","",TEXT(A56,"ddd"))</f>
        <v/>
      </c>
      <c r="C56" s="11" t="n"/>
      <c r="D56" s="12" t="n"/>
      <c r="E56" s="13" t="n"/>
      <c r="F56" s="10" t="n"/>
    </row>
    <row r="57">
      <c r="A57" s="4" t="n"/>
      <c r="B57" s="5">
        <f>IF(A57="","",TEXT(A57,"ddd"))</f>
        <v/>
      </c>
      <c r="C57" s="6" t="n"/>
      <c r="D57" s="7" t="n"/>
      <c r="E57" s="8" t="n"/>
      <c r="F57" s="5" t="n"/>
    </row>
    <row r="58">
      <c r="A58" s="9" t="n"/>
      <c r="B58" s="10">
        <f>IF(A58="","",TEXT(A58,"ddd"))</f>
        <v/>
      </c>
      <c r="C58" s="11" t="n"/>
      <c r="D58" s="12" t="n"/>
      <c r="E58" s="13" t="n"/>
      <c r="F58" s="10" t="n"/>
    </row>
    <row r="59">
      <c r="A59" s="4" t="n"/>
      <c r="B59" s="5">
        <f>IF(A59="","",TEXT(A59,"ddd"))</f>
        <v/>
      </c>
      <c r="C59" s="6" t="n"/>
      <c r="D59" s="7" t="n"/>
      <c r="E59" s="8" t="n"/>
      <c r="F59" s="5" t="n"/>
    </row>
    <row r="61">
      <c r="D61" s="14" t="inlineStr">
        <is>
          <t>Total hours</t>
        </is>
      </c>
      <c r="E61" s="15">
        <f>SUM(E5:E59)</f>
        <v/>
      </c>
    </row>
    <row r="63">
      <c r="A63" s="16" t="inlineStr">
        <is>
          <t>How to use</t>
        </is>
      </c>
    </row>
    <row r="64">
      <c r="A64" s="17" t="inlineStr">
        <is>
          <t>Add one row per block of work. Type the date in column A — the day fills in by itself.</t>
        </is>
      </c>
    </row>
    <row r="65">
      <c r="A65" s="17" t="inlineStr">
        <is>
          <t>Hours are in decimals: 90 minutes is 1.5.</t>
        </is>
      </c>
    </row>
    <row r="66">
      <c r="A66" s="17" t="inlineStr">
        <is>
          <t>Status is a dropdown: Done, In progress, Blocked, On hold.</t>
        </is>
      </c>
    </row>
    <row r="67">
      <c r="A67" s="17" t="inlineStr">
        <is>
          <t>The summary tab adds itself up from this one — nothing to keep in step by hand.</t>
        </is>
      </c>
    </row>
  </sheetData>
  <autoFilter ref="A4:F59"/>
  <mergeCells count="6">
    <mergeCell ref="A2:F2"/>
    <mergeCell ref="A66:F66"/>
    <mergeCell ref="A1:F1"/>
    <mergeCell ref="A67:F67"/>
    <mergeCell ref="A64:F64"/>
    <mergeCell ref="A65:F65"/>
  </mergeCells>
  <dataValidations count="1">
    <dataValidation sqref="F5:F59" showDropDown="0" showInputMessage="0" showErrorMessage="0" allowBlank="1" type="list">
      <formula1>"Done,In progress,Blocked,On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</row>
    <row r="3">
      <c r="A3" s="18" t="inlineStr">
        <is>
          <t>By area</t>
        </is>
      </c>
    </row>
    <row r="4">
      <c r="A4" s="19" t="inlineStr">
        <is>
          <t>Area</t>
        </is>
      </c>
      <c r="B4" s="19" t="inlineStr">
        <is>
          <t>Hours</t>
        </is>
      </c>
      <c r="C4" s="19" t="inlineStr">
        <is>
          <t>Share</t>
        </is>
      </c>
    </row>
    <row r="5">
      <c r="A5" s="20" t="inlineStr">
        <is>
          <t>Accounts</t>
        </is>
      </c>
      <c r="B5" s="21">
        <f>SUMIF('Time Log'!$C$5:$C$59,A5,'Time Log'!$E$5:$E$59)</f>
        <v/>
      </c>
      <c r="C5" s="22">
        <f>IF($B$18=0,0,B5/$B$18)</f>
        <v/>
      </c>
    </row>
    <row r="6">
      <c r="A6" s="20" t="inlineStr">
        <is>
          <t>Admin panel</t>
        </is>
      </c>
      <c r="B6" s="21">
        <f>SUMIF('Time Log'!$C$5:$C$59,A6,'Time Log'!$E$5:$E$59)</f>
        <v/>
      </c>
      <c r="C6" s="22">
        <f>IF($B$18=0,0,B6/$B$18)</f>
        <v/>
      </c>
    </row>
    <row r="7">
      <c r="A7" s="20" t="inlineStr">
        <is>
          <t>App quality</t>
        </is>
      </c>
      <c r="B7" s="21">
        <f>SUMIF('Time Log'!$C$5:$C$59,A7,'Time Log'!$E$5:$E$59)</f>
        <v/>
      </c>
      <c r="C7" s="22">
        <f>IF($B$18=0,0,B7/$B$18)</f>
        <v/>
      </c>
    </row>
    <row r="8">
      <c r="A8" s="20" t="inlineStr">
        <is>
          <t>App shell</t>
        </is>
      </c>
      <c r="B8" s="21">
        <f>SUMIF('Time Log'!$C$5:$C$59,A8,'Time Log'!$E$5:$E$59)</f>
        <v/>
      </c>
      <c r="C8" s="22">
        <f>IF($B$18=0,0,B8/$B$18)</f>
        <v/>
      </c>
    </row>
    <row r="9">
      <c r="A9" s="20" t="inlineStr">
        <is>
          <t>Content import</t>
        </is>
      </c>
      <c r="B9" s="21">
        <f>SUMIF('Time Log'!$C$5:$C$59,A9,'Time Log'!$E$5:$E$59)</f>
        <v/>
      </c>
      <c r="C9" s="22">
        <f>IF($B$18=0,0,B9/$B$18)</f>
        <v/>
      </c>
    </row>
    <row r="10">
      <c r="A10" s="20" t="inlineStr">
        <is>
          <t>Database</t>
        </is>
      </c>
      <c r="B10" s="21">
        <f>SUMIF('Time Log'!$C$5:$C$59,A10,'Time Log'!$E$5:$E$59)</f>
        <v/>
      </c>
      <c r="C10" s="22">
        <f>IF($B$18=0,0,B10/$B$18)</f>
        <v/>
      </c>
    </row>
    <row r="11">
      <c r="A11" s="20" t="inlineStr">
        <is>
          <t>Languages</t>
        </is>
      </c>
      <c r="B11" s="21">
        <f>SUMIF('Time Log'!$C$5:$C$59,A11,'Time Log'!$E$5:$E$59)</f>
        <v/>
      </c>
      <c r="C11" s="22">
        <f>IF($B$18=0,0,B11/$B$18)</f>
        <v/>
      </c>
    </row>
    <row r="12">
      <c r="A12" s="20" t="inlineStr">
        <is>
          <t>Live data</t>
        </is>
      </c>
      <c r="B12" s="21">
        <f>SUMIF('Time Log'!$C$5:$C$59,A12,'Time Log'!$E$5:$E$59)</f>
        <v/>
      </c>
      <c r="C12" s="22">
        <f>IF($B$18=0,0,B12/$B$18)</f>
        <v/>
      </c>
    </row>
    <row r="13">
      <c r="A13" s="20" t="inlineStr">
        <is>
          <t>Maps</t>
        </is>
      </c>
      <c r="B13" s="21">
        <f>SUMIF('Time Log'!$C$5:$C$59,A13,'Time Log'!$E$5:$E$59)</f>
        <v/>
      </c>
      <c r="C13" s="22">
        <f>IF($B$18=0,0,B13/$B$18)</f>
        <v/>
      </c>
    </row>
    <row r="14">
      <c r="A14" s="20" t="inlineStr">
        <is>
          <t>Setup</t>
        </is>
      </c>
      <c r="B14" s="21">
        <f>SUMIF('Time Log'!$C$5:$C$59,A14,'Time Log'!$E$5:$E$59)</f>
        <v/>
      </c>
      <c r="C14" s="22">
        <f>IF($B$18=0,0,B14/$B$18)</f>
        <v/>
      </c>
    </row>
    <row r="15">
      <c r="A15" s="20" t="inlineStr">
        <is>
          <t>Web</t>
        </is>
      </c>
      <c r="B15" s="21">
        <f>SUMIF('Time Log'!$C$5:$C$59,A15,'Time Log'!$E$5:$E$59)</f>
        <v/>
      </c>
      <c r="C15" s="22">
        <f>IF($B$18=0,0,B15/$B$18)</f>
        <v/>
      </c>
    </row>
    <row r="16">
      <c r="A16" s="20" t="inlineStr">
        <is>
          <t>Web + screens</t>
        </is>
      </c>
      <c r="B16" s="21">
        <f>SUMIF('Time Log'!$C$5:$C$59,A16,'Time Log'!$E$5:$E$59)</f>
        <v/>
      </c>
      <c r="C16" s="22">
        <f>IF($B$18=0,0,B16/$B$18)</f>
        <v/>
      </c>
    </row>
    <row r="18">
      <c r="A18" s="23" t="inlineStr">
        <is>
          <t>Total</t>
        </is>
      </c>
      <c r="B18" s="15">
        <f>SUM(B5:B16)</f>
        <v/>
      </c>
      <c r="C18" s="24">
        <f>IF(B18=0,0,1)</f>
        <v/>
      </c>
    </row>
    <row r="21">
      <c r="A21" s="18" t="inlineStr">
        <is>
          <t>By day</t>
        </is>
      </c>
    </row>
    <row r="22">
      <c r="A22" s="19" t="inlineStr">
        <is>
          <t>Date</t>
        </is>
      </c>
      <c r="B22" s="19" t="inlineStr">
        <is>
          <t>Hours</t>
        </is>
      </c>
      <c r="C22" s="19" t="inlineStr">
        <is>
          <t>Entries</t>
        </is>
      </c>
    </row>
    <row r="23">
      <c r="A23" s="25" t="inlineStr">
        <is>
          <t>2026-08-11</t>
        </is>
      </c>
      <c r="B23" s="21">
        <f>SUMIF('Time Log'!$A$5:$A$59,A23,'Time Log'!$E$5:$E$59)</f>
        <v/>
      </c>
      <c r="C23" s="26">
        <f>COUNTIF('Time Log'!$A$5:$A$59,A23)</f>
        <v/>
      </c>
    </row>
    <row r="24">
      <c r="A24" s="25" t="inlineStr">
        <is>
          <t>2026-08-12</t>
        </is>
      </c>
      <c r="B24" s="21">
        <f>SUMIF('Time Log'!$A$5:$A$59,A24,'Time Log'!$E$5:$E$59)</f>
        <v/>
      </c>
      <c r="C24" s="26">
        <f>COUNTIF('Time Log'!$A$5:$A$59,A24)</f>
        <v/>
      </c>
    </row>
    <row r="25">
      <c r="A25" s="25" t="inlineStr">
        <is>
          <t>2026-08-28</t>
        </is>
      </c>
      <c r="B25" s="21">
        <f>SUMIF('Time Log'!$A$5:$A$59,A25,'Time Log'!$E$5:$E$59)</f>
        <v/>
      </c>
      <c r="C25" s="26">
        <f>COUNTIF('Time Log'!$A$5:$A$59,A25)</f>
        <v/>
      </c>
    </row>
    <row r="26">
      <c r="A26" s="25" t="inlineStr">
        <is>
          <t>2026-09-14</t>
        </is>
      </c>
      <c r="B26" s="21">
        <f>SUMIF('Time Log'!$A$5:$A$59,A26,'Time Log'!$E$5:$E$59)</f>
        <v/>
      </c>
      <c r="C26" s="26">
        <f>COUNTIF('Time Log'!$A$5:$A$59,A26)</f>
        <v/>
      </c>
    </row>
    <row r="27">
      <c r="A27" s="25" t="inlineStr">
        <is>
          <t>2026-09-15</t>
        </is>
      </c>
      <c r="B27" s="21">
        <f>SUMIF('Time Log'!$A$5:$A$59,A27,'Time Log'!$E$5:$E$59)</f>
        <v/>
      </c>
      <c r="C27" s="26">
        <f>COUNTIF('Time Log'!$A$5:$A$59,A27)</f>
        <v/>
      </c>
    </row>
    <row r="28">
      <c r="A28" s="25" t="inlineStr">
        <is>
          <t>2026-09-16</t>
        </is>
      </c>
      <c r="B28" s="21">
        <f>SUMIF('Time Log'!$A$5:$A$59,A28,'Time Log'!$E$5:$E$59)</f>
        <v/>
      </c>
      <c r="C28" s="26">
        <f>COUNTIF('Time Log'!$A$5:$A$59,A28)</f>
        <v/>
      </c>
    </row>
    <row r="29">
      <c r="A29" s="25" t="inlineStr">
        <is>
          <t>2026-09-18</t>
        </is>
      </c>
      <c r="B29" s="21">
        <f>SUMIF('Time Log'!$A$5:$A$59,A29,'Time Log'!$E$5:$E$59)</f>
        <v/>
      </c>
      <c r="C29" s="26">
        <f>COUNTIF('Time Log'!$A$5:$A$59,A29)</f>
        <v/>
      </c>
    </row>
    <row r="30">
      <c r="A30" s="25" t="inlineStr">
        <is>
          <t>2026-09-20</t>
        </is>
      </c>
      <c r="B30" s="21">
        <f>SUMIF('Time Log'!$A$5:$A$59,A30,'Time Log'!$E$5:$E$59)</f>
        <v/>
      </c>
      <c r="C30" s="26">
        <f>COUNTIF('Time Log'!$A$5:$A$59,A30)</f>
        <v/>
      </c>
    </row>
    <row r="31">
      <c r="A31" s="25" t="inlineStr">
        <is>
          <t>2026-09-23</t>
        </is>
      </c>
      <c r="B31" s="21">
        <f>SUMIF('Time Log'!$A$5:$A$59,A31,'Time Log'!$E$5:$E$59)</f>
        <v/>
      </c>
      <c r="C31" s="26">
        <f>COUNTIF('Time Log'!$A$5:$A$59,A31)</f>
        <v/>
      </c>
    </row>
    <row r="33">
      <c r="A33" s="17" t="inlineStr">
        <is>
          <t>Both tables read the Time Log tab, so adding a row there updates them.</t>
        </is>
      </c>
    </row>
  </sheetData>
  <mergeCells count="2">
    <mergeCell ref="A1:C1"/>
    <mergeCell ref="A33:C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2026-09-23T13:55:52Z</dcterms:created>
  <dcterms:modified xmlns:dcterms="http://purl.org/dc/terms/" xmlns:xsi="http://www.w3.org/2001/XMLSchema-instance" xsi:type="dcterms:W3CDTF">2026-09-23T13:55:52Z</dcterms:modified>
</cp:coreProperties>
</file>